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rauedu-my.sharepoint.com/personal/joaon_my_erau_edu/Documents/"/>
    </mc:Choice>
  </mc:AlternateContent>
  <xr:revisionPtr revIDLastSave="0" documentId="8_{03AD7407-879E-4D33-B2CC-56B54C4623B5}" xr6:coauthVersionLast="47" xr6:coauthVersionMax="47" xr10:uidLastSave="{00000000-0000-0000-0000-000000000000}"/>
  <bookViews>
    <workbookView xWindow="-120" yWindow="-120" windowWidth="38640" windowHeight="21120" xr2:uid="{3040D530-D58B-42E4-8422-6AE97F0E175C}"/>
  </bookViews>
  <sheets>
    <sheet name="Diamond_Analysis" sheetId="2" r:id="rId1"/>
    <sheet name="coeff_lift_AoA" sheetId="3" r:id="rId2"/>
    <sheet name="coeff_drag_AoA " sheetId="5" r:id="rId3"/>
  </sheets>
  <functionGroups builtInGroupCount="19"/>
  <definedNames>
    <definedName name="ExternalData_1" localSheetId="2" hidden="1">'coeff_drag_AoA '!$A$1:$E$26</definedName>
    <definedName name="ExternalData_1" localSheetId="1" hidden="1">'coeff_lift_AoA'!$A$1:$E$24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0A9020-8121-46F9-8338-EF470221A26C}" keepAlive="1" name="Query - coeff_drag_AoA" description="Connection to the 'coeff_drag_AoA' query in the workbook." type="5" refreshedVersion="8" background="1" saveData="1">
    <dbPr connection="Provider=Microsoft.Mashup.OleDb.1;Data Source=$Workbook$;Location=coeff_drag_AoA;Extended Properties=&quot;&quot;" command="SELECT * FROM [coeff_drag_AoA]"/>
  </connection>
  <connection id="2" xr16:uid="{104CF934-52DB-41F2-AA9B-618877C91C47}" keepAlive="1" name="Query - coeff_lift_AoA" description="Connection to the 'coeff_lift_AoA' query in the workbook." type="5" refreshedVersion="8" background="1" saveData="1">
    <dbPr connection="Provider=Microsoft.Mashup.OleDb.1;Data Source=$Workbook$;Location=coeff_lift_AoA;Extended Properties=&quot;&quot;" command="SELECT * FROM [coeff_lift_AoA]"/>
  </connection>
</connections>
</file>

<file path=xl/sharedStrings.xml><?xml version="1.0" encoding="utf-8"?>
<sst xmlns="http://schemas.openxmlformats.org/spreadsheetml/2006/main" count="39" uniqueCount="34">
  <si>
    <t>Visualization Data</t>
  </si>
  <si>
    <t>Supersonic Diamond Airfoil Analyzer</t>
  </si>
  <si>
    <t>Flight Conditions</t>
  </si>
  <si>
    <t>Results</t>
  </si>
  <si>
    <t>Mach Number (M)</t>
  </si>
  <si>
    <t>Lift Coefficient (Cl)</t>
  </si>
  <si>
    <t>Angle of Attack (deg)</t>
  </si>
  <si>
    <t>Drag Coefficient (Cd)</t>
  </si>
  <si>
    <t>L/D Ratio</t>
  </si>
  <si>
    <t>Geometry</t>
  </si>
  <si>
    <t>Status</t>
  </si>
  <si>
    <t>Shock Attached</t>
  </si>
  <si>
    <t>Thickness Ratio (t/c)</t>
  </si>
  <si>
    <t>Max Thickness Loc (x/c)</t>
  </si>
  <si>
    <t>Surface Analysis Details</t>
  </si>
  <si>
    <t>Surface</t>
  </si>
  <si>
    <t>Type</t>
  </si>
  <si>
    <t>Deflection (deg)</t>
  </si>
  <si>
    <t>Mach</t>
  </si>
  <si>
    <t>Pressure Ratio (P/Pinf)</t>
  </si>
  <si>
    <t>Cp</t>
  </si>
  <si>
    <t>1 (Top-Front)</t>
  </si>
  <si>
    <t>Expansion Fan</t>
  </si>
  <si>
    <t>2 (Top-Rear)</t>
  </si>
  <si>
    <t>3 (Bot-Front)</t>
  </si>
  <si>
    <t>Oblique Shock</t>
  </si>
  <si>
    <t>4 (Bot-Rear)</t>
  </si>
  <si>
    <t>x</t>
  </si>
  <si>
    <t>t/c = .105   M = 1.48</t>
  </si>
  <si>
    <t>t/c = .105   M = 1.58</t>
  </si>
  <si>
    <t>t/c = .10    M = 1.86</t>
  </si>
  <si>
    <t>t/c = .10    M = 2.48</t>
  </si>
  <si>
    <t>t.c = .1      M = 1.86</t>
  </si>
  <si>
    <t>t/c = .1      M = 2.48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</si>
</sst>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003264"/>
      <name val="Aptos Narrow"/>
      <family val="2"/>
      <scheme val="minor"/>
    </font>
    <font>
      <b/>
      <sz val="11"/>
      <color rgb="FF646464"/>
      <name val="Aptos Narrow"/>
      <family val="2"/>
      <scheme val="minor"/>
    </font>
    <font>
      <b/>
      <sz val="11"/>
      <color rgb="FF009600"/>
      <name val="Aptos Narrow"/>
      <family val="2"/>
      <scheme val="minor"/>
    </font>
    <font>
      <b/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8FFC8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5B9BD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/>
    <xf numFmtId="0" fontId="3" fillId="2" borderId="2" xfId="0" applyFont="1" applyFill="1" applyBorder="1"/>
    <xf numFmtId="0" fontId="0" fillId="3" borderId="3" xfId="0" applyFill="1" applyBorder="1"/>
    <xf numFmtId="0" fontId="1" fillId="4" borderId="0" xfId="0" applyFont="1" applyFill="1"/>
    <xf numFmtId="0" fontId="1" fillId="5" borderId="1" xfId="0" applyFont="1" applyFill="1" applyBorder="1"/>
    <xf numFmtId="0" fontId="0" fillId="6" borderId="0" xfId="0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Shock Visualization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S1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Diamond_Analysis!$N$2:$N$3</c:f>
              <c:numCache>
                <c:formatCode>General</c:formatCode>
                <c:ptCount val="2"/>
                <c:pt idx="0">
                  <c:v>0</c:v>
                </c:pt>
                <c:pt idx="1">
                  <c:v>0.50152763708642922</c:v>
                </c:pt>
              </c:numCache>
            </c:numRef>
          </c:xVal>
          <c:yVal>
            <c:numRef>
              <c:f>Diamond_Analysis!$O$2:$O$3</c:f>
              <c:numCache>
                <c:formatCode>General</c:formatCode>
                <c:ptCount val="2"/>
                <c:pt idx="0">
                  <c:v>0</c:v>
                </c:pt>
                <c:pt idx="1">
                  <c:v>3.501827006725089E-2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E-4098-BE38-0387A7128EAA}"/>
            </c:ext>
          </c:extLst>
        </c:ser>
        <c:ser>
          <c:idx val="1"/>
          <c:order val="1"/>
          <c:tx>
            <c:v>S2</c:v>
          </c:tx>
          <c:spPr>
            <a:ln w="3175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Diamond_Analysis!$P$2:$P$3</c:f>
              <c:numCache>
                <c:formatCode>General</c:formatCode>
                <c:ptCount val="2"/>
                <c:pt idx="0">
                  <c:v>0.50152763708642922</c:v>
                </c:pt>
                <c:pt idx="1">
                  <c:v>0.99939082701909565</c:v>
                </c:pt>
              </c:numCache>
            </c:numRef>
          </c:xVal>
          <c:yVal>
            <c:numRef>
              <c:f>Diamond_Analysis!$Q$2:$Q$3</c:f>
              <c:numCache>
                <c:formatCode>General</c:formatCode>
                <c:ptCount val="2"/>
                <c:pt idx="0">
                  <c:v>3.501827006725089E-2</c:v>
                </c:pt>
                <c:pt idx="1">
                  <c:v>-3.4899496702503266E-2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CE-4098-BE38-0387A7128EAA}"/>
            </c:ext>
          </c:extLst>
        </c:ser>
        <c:ser>
          <c:idx val="2"/>
          <c:order val="2"/>
          <c:tx>
            <c:v>S3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Diamond_Analysis!$R$2:$R$3</c:f>
              <c:numCache>
                <c:formatCode>General</c:formatCode>
                <c:ptCount val="2"/>
                <c:pt idx="0">
                  <c:v>0</c:v>
                </c:pt>
                <c:pt idx="1">
                  <c:v>0.49786318993266643</c:v>
                </c:pt>
              </c:numCache>
            </c:numRef>
          </c:xVal>
          <c:yVal>
            <c:numRef>
              <c:f>Diamond_Analysis!$S$2:$S$3</c:f>
              <c:numCache>
                <c:formatCode>General</c:formatCode>
                <c:ptCount val="2"/>
                <c:pt idx="0">
                  <c:v>0</c:v>
                </c:pt>
                <c:pt idx="1">
                  <c:v>-6.9917766769754155E-2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CE-4098-BE38-0387A7128EAA}"/>
            </c:ext>
          </c:extLst>
        </c:ser>
        <c:ser>
          <c:idx val="3"/>
          <c:order val="3"/>
          <c:tx>
            <c:v>S4</c:v>
          </c:tx>
          <c:spPr>
            <a:ln w="3175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Diamond_Analysis!$T$2:$T$3</c:f>
              <c:numCache>
                <c:formatCode>General</c:formatCode>
                <c:ptCount val="2"/>
                <c:pt idx="0">
                  <c:v>0.49786318993266643</c:v>
                </c:pt>
                <c:pt idx="1">
                  <c:v>0.99939082701909565</c:v>
                </c:pt>
              </c:numCache>
            </c:numRef>
          </c:xVal>
          <c:yVal>
            <c:numRef>
              <c:f>Diamond_Analysis!$U$2:$U$3</c:f>
              <c:numCache>
                <c:formatCode>General</c:formatCode>
                <c:ptCount val="2"/>
                <c:pt idx="0">
                  <c:v>-6.9917766769754155E-2</c:v>
                </c:pt>
                <c:pt idx="1">
                  <c:v>-3.4899496702503266E-2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CE-4098-BE38-0387A7128EAA}"/>
            </c:ext>
          </c:extLst>
        </c:ser>
        <c:ser>
          <c:idx val="4"/>
          <c:order val="4"/>
          <c:tx>
            <c:v>LE_Top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Diamond_Analysis!$V$2:$V$3</c:f>
              <c:numCache>
                <c:formatCode>General</c:formatCode>
                <c:ptCount val="2"/>
                <c:pt idx="0">
                  <c:v>0</c:v>
                </c:pt>
                <c:pt idx="1">
                  <c:v>0.33870701050332486</c:v>
                </c:pt>
              </c:numCache>
            </c:numRef>
          </c:xVal>
          <c:yVal>
            <c:numRef>
              <c:f>Diamond_Analysis!$W$2:$W$3</c:f>
              <c:numCache>
                <c:formatCode>General</c:formatCode>
                <c:ptCount val="2"/>
                <c:pt idx="0">
                  <c:v>0</c:v>
                </c:pt>
                <c:pt idx="1">
                  <c:v>0.36780098019975499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CE-4098-BE38-0387A7128EAA}"/>
            </c:ext>
          </c:extLst>
        </c:ser>
        <c:ser>
          <c:idx val="5"/>
          <c:order val="5"/>
          <c:tx>
            <c:v>LE_Bot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Diamond_Analysis!$X$2:$X$3</c:f>
              <c:numCache>
                <c:formatCode>General</c:formatCode>
                <c:ptCount val="2"/>
                <c:pt idx="0">
                  <c:v>0</c:v>
                </c:pt>
                <c:pt idx="1">
                  <c:v>0.29625989393892127</c:v>
                </c:pt>
              </c:numCache>
            </c:numRef>
          </c:xVal>
          <c:yVal>
            <c:numRef>
              <c:f>Diamond_Analysis!$Y$2:$Y$3</c:f>
              <c:numCache>
                <c:formatCode>General</c:formatCode>
                <c:ptCount val="2"/>
                <c:pt idx="0">
                  <c:v>0</c:v>
                </c:pt>
                <c:pt idx="1">
                  <c:v>-0.40277794781156911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CE-4098-BE38-0387A7128EAA}"/>
            </c:ext>
          </c:extLst>
        </c:ser>
        <c:ser>
          <c:idx val="6"/>
          <c:order val="6"/>
          <c:tx>
            <c:v>MidT_1</c:v>
          </c:tx>
          <c:spPr>
            <a:ln w="1905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Diamond_Analysis!$Z$2:$Z$3</c:f>
              <c:numCache>
                <c:formatCode>General</c:formatCode>
                <c:ptCount val="2"/>
                <c:pt idx="0">
                  <c:v>0.50152763708642922</c:v>
                </c:pt>
                <c:pt idx="1">
                  <c:v>0.80784324768338489</c:v>
                </c:pt>
              </c:numCache>
            </c:numRef>
          </c:xVal>
          <c:yVal>
            <c:numRef>
              <c:f>Diamond_Analysis!$AA$2:$AA$3</c:f>
              <c:numCache>
                <c:formatCode>General</c:formatCode>
                <c:ptCount val="2"/>
                <c:pt idx="0">
                  <c:v>3.501827006725089E-2</c:v>
                </c:pt>
                <c:pt idx="1">
                  <c:v>0.43020271650285419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CE-4098-BE38-0387A7128EAA}"/>
            </c:ext>
          </c:extLst>
        </c:ser>
        <c:ser>
          <c:idx val="7"/>
          <c:order val="7"/>
          <c:tx>
            <c:v>MidT_2</c:v>
          </c:tx>
          <c:spPr>
            <a:ln w="1905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Diamond_Analysis!$AB$2:$AB$3</c:f>
              <c:numCache>
                <c:formatCode>General</c:formatCode>
                <c:ptCount val="2"/>
                <c:pt idx="0">
                  <c:v>0.50152763708642922</c:v>
                </c:pt>
                <c:pt idx="1">
                  <c:v>0.94765967180010935</c:v>
                </c:pt>
              </c:numCache>
            </c:numRef>
          </c:xVal>
          <c:yVal>
            <c:numRef>
              <c:f>Diamond_Analysis!$AC$2:$AC$3</c:f>
              <c:numCache>
                <c:formatCode>General</c:formatCode>
                <c:ptCount val="2"/>
                <c:pt idx="0">
                  <c:v>3.501827006725089E-2</c:v>
                </c:pt>
                <c:pt idx="1">
                  <c:v>0.26077523585619755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CE-4098-BE38-0387A7128EAA}"/>
            </c:ext>
          </c:extLst>
        </c:ser>
        <c:ser>
          <c:idx val="8"/>
          <c:order val="8"/>
          <c:tx>
            <c:v>MidB_1</c:v>
          </c:tx>
          <c:spPr>
            <a:ln w="1905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Diamond_Analysis!$AD$2:$AD$3</c:f>
              <c:numCache>
                <c:formatCode>General</c:formatCode>
                <c:ptCount val="2"/>
                <c:pt idx="0">
                  <c:v>0.49786318993266643</c:v>
                </c:pt>
                <c:pt idx="1">
                  <c:v>0.7043240368913718</c:v>
                </c:pt>
              </c:numCache>
            </c:numRef>
          </c:xVal>
          <c:yVal>
            <c:numRef>
              <c:f>Diamond_Analysis!$AE$2:$AE$3</c:f>
              <c:numCache>
                <c:formatCode>General</c:formatCode>
                <c:ptCount val="2"/>
                <c:pt idx="0">
                  <c:v>-6.9917766769754155E-2</c:v>
                </c:pt>
                <c:pt idx="1">
                  <c:v>-0.52530103246261428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FCE-4098-BE38-0387A7128EAA}"/>
            </c:ext>
          </c:extLst>
        </c:ser>
        <c:ser>
          <c:idx val="9"/>
          <c:order val="9"/>
          <c:tx>
            <c:v>MidB_2</c:v>
          </c:tx>
          <c:spPr>
            <a:ln w="1905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Diamond_Analysis!$AF$2:$AF$3</c:f>
              <c:numCache>
                <c:formatCode>General</c:formatCode>
                <c:ptCount val="2"/>
                <c:pt idx="0">
                  <c:v>0.49786318993266643</c:v>
                </c:pt>
                <c:pt idx="1">
                  <c:v>0.91042659068401055</c:v>
                </c:pt>
              </c:numCache>
            </c:numRef>
          </c:xVal>
          <c:yVal>
            <c:numRef>
              <c:f>Diamond_Analysis!$AG$2:$AG$3</c:f>
              <c:numCache>
                <c:formatCode>General</c:formatCode>
                <c:ptCount val="2"/>
                <c:pt idx="0">
                  <c:v>-6.9917766769754155E-2</c:v>
                </c:pt>
                <c:pt idx="1">
                  <c:v>-0.35239155380226067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CE-4098-BE38-0387A7128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714960"/>
        <c:axId val="1717717840"/>
      </c:scatterChart>
      <c:valAx>
        <c:axId val="1717714960"/>
        <c:scaling>
          <c:orientation val="minMax"/>
          <c:max val="1.6"/>
          <c:min val="-0.2"/>
        </c:scaling>
        <c:delete val="0"/>
        <c:axPos val="b"/>
        <c:numFmt formatCode="General" sourceLinked="1"/>
        <c:majorTickMark val="out"/>
        <c:minorTickMark val="none"/>
        <c:tickLblPos val="nextTo"/>
        <c:crossAx val="1717717840"/>
        <c:crosses val="autoZero"/>
        <c:crossBetween val="midCat"/>
      </c:valAx>
      <c:valAx>
        <c:axId val="1717717840"/>
        <c:scaling>
          <c:orientation val="minMax"/>
          <c:max val="0.6"/>
          <c:min val="-0.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7714960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Variation of Lift Coefficient with t/c and AoA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'coeff_lift_AoA'!$B$1</c:f>
              <c:strCache>
                <c:ptCount val="1"/>
                <c:pt idx="0">
                  <c:v>t/c = .105   M = 1.48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'coeff_lift_AoA'!$A$2:$A$24</c:f>
              <c:numCache>
                <c:formatCode>General</c:formatCode>
                <c:ptCount val="23"/>
                <c:pt idx="0">
                  <c:v>6.5600000000000006E-2</c:v>
                </c:pt>
                <c:pt idx="1">
                  <c:v>7.7600000000000002E-2</c:v>
                </c:pt>
                <c:pt idx="2">
                  <c:v>9.64E-2</c:v>
                </c:pt>
                <c:pt idx="3">
                  <c:v>0.1047</c:v>
                </c:pt>
                <c:pt idx="4">
                  <c:v>1.9829000000000001</c:v>
                </c:pt>
                <c:pt idx="5">
                  <c:v>2.0034000000000001</c:v>
                </c:pt>
                <c:pt idx="6">
                  <c:v>2.0070999999999999</c:v>
                </c:pt>
                <c:pt idx="7">
                  <c:v>2.0131999999999999</c:v>
                </c:pt>
                <c:pt idx="8">
                  <c:v>4.0237999999999996</c:v>
                </c:pt>
                <c:pt idx="9">
                  <c:v>4.0266999999999999</c:v>
                </c:pt>
                <c:pt idx="10">
                  <c:v>4.0282</c:v>
                </c:pt>
                <c:pt idx="11">
                  <c:v>4.0453000000000001</c:v>
                </c:pt>
                <c:pt idx="12">
                  <c:v>5.0808</c:v>
                </c:pt>
                <c:pt idx="13">
                  <c:v>6.0433000000000003</c:v>
                </c:pt>
                <c:pt idx="14">
                  <c:v>6.0477999999999996</c:v>
                </c:pt>
                <c:pt idx="15">
                  <c:v>6.0632999999999999</c:v>
                </c:pt>
                <c:pt idx="16">
                  <c:v>8.0496999999999996</c:v>
                </c:pt>
                <c:pt idx="17">
                  <c:v>8.0509000000000004</c:v>
                </c:pt>
                <c:pt idx="18">
                  <c:v>8.0614000000000008</c:v>
                </c:pt>
                <c:pt idx="19">
                  <c:v>10.0465</c:v>
                </c:pt>
                <c:pt idx="20">
                  <c:v>10.054</c:v>
                </c:pt>
                <c:pt idx="21">
                  <c:v>12.018000000000001</c:v>
                </c:pt>
                <c:pt idx="22">
                  <c:v>12.026999999999999</c:v>
                </c:pt>
              </c:numCache>
            </c:numRef>
          </c:xVal>
          <c:yVal>
            <c:numRef>
              <c:f>'coeff_lift_AoA'!$B$2:$B$24</c:f>
              <c:numCache>
                <c:formatCode>General</c:formatCode>
                <c:ptCount val="23"/>
                <c:pt idx="0">
                  <c:v>8.3499999999999998E-3</c:v>
                </c:pt>
                <c:pt idx="1">
                  <c:v>9.1199999999999996E-3</c:v>
                </c:pt>
                <c:pt idx="2">
                  <c:v>1.034E-2</c:v>
                </c:pt>
                <c:pt idx="3">
                  <c:v>1.0869999999999999E-2</c:v>
                </c:pt>
                <c:pt idx="4">
                  <c:v>0.13705999999999999</c:v>
                </c:pt>
                <c:pt idx="5">
                  <c:v>0.13852</c:v>
                </c:pt>
                <c:pt idx="6">
                  <c:v>0.13879</c:v>
                </c:pt>
                <c:pt idx="7">
                  <c:v>0.13922000000000001</c:v>
                </c:pt>
                <c:pt idx="8">
                  <c:v>0.29108000000000001</c:v>
                </c:pt>
                <c:pt idx="9">
                  <c:v>0.29132000000000002</c:v>
                </c:pt>
                <c:pt idx="10">
                  <c:v>0.29143999999999998</c:v>
                </c:pt>
                <c:pt idx="11">
                  <c:v>0.29281000000000001</c:v>
                </c:pt>
                <c:pt idx="12">
                  <c:v>0.38318999999999998</c:v>
                </c:pt>
                <c:pt idx="13">
                  <c:v>0.46767999999999998</c:v>
                </c:pt>
                <c:pt idx="14">
                  <c:v>0.46804000000000001</c:v>
                </c:pt>
                <c:pt idx="15">
                  <c:v>0.46928999999999998</c:v>
                </c:pt>
                <c:pt idx="16">
                  <c:v>0.62060999999999999</c:v>
                </c:pt>
                <c:pt idx="17">
                  <c:v>0.62070000000000003</c:v>
                </c:pt>
                <c:pt idx="18">
                  <c:v>0.62148000000000003</c:v>
                </c:pt>
                <c:pt idx="19">
                  <c:v>0.76553000000000004</c:v>
                </c:pt>
                <c:pt idx="20">
                  <c:v>0.76607000000000003</c:v>
                </c:pt>
                <c:pt idx="21">
                  <c:v>0.90615000000000001</c:v>
                </c:pt>
                <c:pt idx="22">
                  <c:v>0.90678999999999998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54-468A-B07B-B65FE0B66AB5}"/>
            </c:ext>
          </c:extLst>
        </c:ser>
        <c:ser>
          <c:idx val="1"/>
          <c:order val="1"/>
          <c:tx>
            <c:strRef>
              <c:f>'coeff_lift_AoA'!$C$1</c:f>
              <c:strCache>
                <c:ptCount val="1"/>
                <c:pt idx="0">
                  <c:v>t/c = .105   M = 1.58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'coeff_lift_AoA'!$A$2:$A$24</c:f>
              <c:numCache>
                <c:formatCode>General</c:formatCode>
                <c:ptCount val="23"/>
                <c:pt idx="0">
                  <c:v>6.5600000000000006E-2</c:v>
                </c:pt>
                <c:pt idx="1">
                  <c:v>7.7600000000000002E-2</c:v>
                </c:pt>
                <c:pt idx="2">
                  <c:v>9.64E-2</c:v>
                </c:pt>
                <c:pt idx="3">
                  <c:v>0.1047</c:v>
                </c:pt>
                <c:pt idx="4">
                  <c:v>1.9829000000000001</c:v>
                </c:pt>
                <c:pt idx="5">
                  <c:v>2.0034000000000001</c:v>
                </c:pt>
                <c:pt idx="6">
                  <c:v>2.0070999999999999</c:v>
                </c:pt>
                <c:pt idx="7">
                  <c:v>2.0131999999999999</c:v>
                </c:pt>
                <c:pt idx="8">
                  <c:v>4.0237999999999996</c:v>
                </c:pt>
                <c:pt idx="9">
                  <c:v>4.0266999999999999</c:v>
                </c:pt>
                <c:pt idx="10">
                  <c:v>4.0282</c:v>
                </c:pt>
                <c:pt idx="11">
                  <c:v>4.0453000000000001</c:v>
                </c:pt>
                <c:pt idx="12">
                  <c:v>5.0808</c:v>
                </c:pt>
                <c:pt idx="13">
                  <c:v>6.0433000000000003</c:v>
                </c:pt>
                <c:pt idx="14">
                  <c:v>6.0477999999999996</c:v>
                </c:pt>
                <c:pt idx="15">
                  <c:v>6.0632999999999999</c:v>
                </c:pt>
                <c:pt idx="16">
                  <c:v>8.0496999999999996</c:v>
                </c:pt>
                <c:pt idx="17">
                  <c:v>8.0509000000000004</c:v>
                </c:pt>
                <c:pt idx="18">
                  <c:v>8.0614000000000008</c:v>
                </c:pt>
                <c:pt idx="19">
                  <c:v>10.0465</c:v>
                </c:pt>
                <c:pt idx="20">
                  <c:v>10.054</c:v>
                </c:pt>
                <c:pt idx="21">
                  <c:v>12.018000000000001</c:v>
                </c:pt>
                <c:pt idx="22">
                  <c:v>12.026999999999999</c:v>
                </c:pt>
              </c:numCache>
            </c:numRef>
          </c:xVal>
          <c:yVal>
            <c:numRef>
              <c:f>'coeff_lift_AoA'!$C$2:$C$24</c:f>
              <c:numCache>
                <c:formatCode>General</c:formatCode>
                <c:ptCount val="23"/>
                <c:pt idx="0">
                  <c:v>7.26E-3</c:v>
                </c:pt>
                <c:pt idx="1">
                  <c:v>7.9100000000000004E-3</c:v>
                </c:pt>
                <c:pt idx="2">
                  <c:v>8.9099999999999995E-3</c:v>
                </c:pt>
                <c:pt idx="3">
                  <c:v>9.3600000000000003E-3</c:v>
                </c:pt>
                <c:pt idx="4">
                  <c:v>0.11362999999999999</c:v>
                </c:pt>
                <c:pt idx="5">
                  <c:v>0.11484</c:v>
                </c:pt>
                <c:pt idx="6">
                  <c:v>0.11506</c:v>
                </c:pt>
                <c:pt idx="7">
                  <c:v>0.11541999999999999</c:v>
                </c:pt>
                <c:pt idx="8">
                  <c:v>0.2404</c:v>
                </c:pt>
                <c:pt idx="9">
                  <c:v>0.24059</c:v>
                </c:pt>
                <c:pt idx="10">
                  <c:v>0.24068000000000001</c:v>
                </c:pt>
                <c:pt idx="11">
                  <c:v>0.24176</c:v>
                </c:pt>
                <c:pt idx="12">
                  <c:v>0.30820999999999998</c:v>
                </c:pt>
                <c:pt idx="13">
                  <c:v>0.37580000000000002</c:v>
                </c:pt>
                <c:pt idx="14">
                  <c:v>0.37613999999999997</c:v>
                </c:pt>
                <c:pt idx="15">
                  <c:v>0.37730000000000002</c:v>
                </c:pt>
                <c:pt idx="16">
                  <c:v>0.54520000000000002</c:v>
                </c:pt>
                <c:pt idx="17">
                  <c:v>0.54530999999999996</c:v>
                </c:pt>
                <c:pt idx="18">
                  <c:v>0.54623999999999995</c:v>
                </c:pt>
                <c:pt idx="19">
                  <c:v>0.71387999999999996</c:v>
                </c:pt>
                <c:pt idx="20">
                  <c:v>0.71445000000000003</c:v>
                </c:pt>
                <c:pt idx="21">
                  <c:v>0.83057999999999998</c:v>
                </c:pt>
                <c:pt idx="22">
                  <c:v>0.83094000000000001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54-468A-B07B-B65FE0B66AB5}"/>
            </c:ext>
          </c:extLst>
        </c:ser>
        <c:ser>
          <c:idx val="2"/>
          <c:order val="2"/>
          <c:tx>
            <c:strRef>
              <c:f>'coeff_lift_AoA'!$D$1</c:f>
              <c:strCache>
                <c:ptCount val="1"/>
                <c:pt idx="0">
                  <c:v>t/c = .10    M = 1.86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'coeff_lift_AoA'!$A$2:$A$24</c:f>
              <c:numCache>
                <c:formatCode>General</c:formatCode>
                <c:ptCount val="23"/>
                <c:pt idx="0">
                  <c:v>6.5600000000000006E-2</c:v>
                </c:pt>
                <c:pt idx="1">
                  <c:v>7.7600000000000002E-2</c:v>
                </c:pt>
                <c:pt idx="2">
                  <c:v>9.64E-2</c:v>
                </c:pt>
                <c:pt idx="3">
                  <c:v>0.1047</c:v>
                </c:pt>
                <c:pt idx="4">
                  <c:v>1.9829000000000001</c:v>
                </c:pt>
                <c:pt idx="5">
                  <c:v>2.0034000000000001</c:v>
                </c:pt>
                <c:pt idx="6">
                  <c:v>2.0070999999999999</c:v>
                </c:pt>
                <c:pt idx="7">
                  <c:v>2.0131999999999999</c:v>
                </c:pt>
                <c:pt idx="8">
                  <c:v>4.0237999999999996</c:v>
                </c:pt>
                <c:pt idx="9">
                  <c:v>4.0266999999999999</c:v>
                </c:pt>
                <c:pt idx="10">
                  <c:v>4.0282</c:v>
                </c:pt>
                <c:pt idx="11">
                  <c:v>4.0453000000000001</c:v>
                </c:pt>
                <c:pt idx="12">
                  <c:v>5.0808</c:v>
                </c:pt>
                <c:pt idx="13">
                  <c:v>6.0433000000000003</c:v>
                </c:pt>
                <c:pt idx="14">
                  <c:v>6.0477999999999996</c:v>
                </c:pt>
                <c:pt idx="15">
                  <c:v>6.0632999999999999</c:v>
                </c:pt>
                <c:pt idx="16">
                  <c:v>8.0496999999999996</c:v>
                </c:pt>
                <c:pt idx="17">
                  <c:v>8.0509000000000004</c:v>
                </c:pt>
                <c:pt idx="18">
                  <c:v>8.0614000000000008</c:v>
                </c:pt>
                <c:pt idx="19">
                  <c:v>10.0465</c:v>
                </c:pt>
                <c:pt idx="20">
                  <c:v>10.054</c:v>
                </c:pt>
                <c:pt idx="21">
                  <c:v>12.018000000000001</c:v>
                </c:pt>
                <c:pt idx="22">
                  <c:v>12.026999999999999</c:v>
                </c:pt>
              </c:numCache>
            </c:numRef>
          </c:xVal>
          <c:yVal>
            <c:numRef>
              <c:f>'coeff_lift_AoA'!$D$2:$D$24</c:f>
              <c:numCache>
                <c:formatCode>General</c:formatCode>
                <c:ptCount val="23"/>
                <c:pt idx="0">
                  <c:v>4.5399999999999998E-3</c:v>
                </c:pt>
                <c:pt idx="1">
                  <c:v>5.0400000000000002E-3</c:v>
                </c:pt>
                <c:pt idx="2">
                  <c:v>5.8399999999999997E-3</c:v>
                </c:pt>
                <c:pt idx="3">
                  <c:v>6.1900000000000002E-3</c:v>
                </c:pt>
                <c:pt idx="4">
                  <c:v>8.7359999999999993E-2</c:v>
                </c:pt>
                <c:pt idx="5">
                  <c:v>8.8289999999999993E-2</c:v>
                </c:pt>
                <c:pt idx="6">
                  <c:v>8.8459999999999997E-2</c:v>
                </c:pt>
                <c:pt idx="7">
                  <c:v>8.8730000000000003E-2</c:v>
                </c:pt>
                <c:pt idx="8">
                  <c:v>0.18296999999999999</c:v>
                </c:pt>
                <c:pt idx="9">
                  <c:v>0.18310999999999999</c:v>
                </c:pt>
                <c:pt idx="10">
                  <c:v>0.18318000000000001</c:v>
                </c:pt>
                <c:pt idx="11">
                  <c:v>0.184</c:v>
                </c:pt>
                <c:pt idx="12">
                  <c:v>0.23377999999999999</c:v>
                </c:pt>
                <c:pt idx="13">
                  <c:v>0.27994000000000002</c:v>
                </c:pt>
                <c:pt idx="14">
                  <c:v>0.28015000000000001</c:v>
                </c:pt>
                <c:pt idx="15">
                  <c:v>0.28088999999999997</c:v>
                </c:pt>
                <c:pt idx="16">
                  <c:v>0.37475000000000003</c:v>
                </c:pt>
                <c:pt idx="17">
                  <c:v>0.37480000000000002</c:v>
                </c:pt>
                <c:pt idx="18">
                  <c:v>0.37530000000000002</c:v>
                </c:pt>
                <c:pt idx="19">
                  <c:v>0.46855999999999998</c:v>
                </c:pt>
                <c:pt idx="20">
                  <c:v>0.46890999999999999</c:v>
                </c:pt>
                <c:pt idx="21">
                  <c:v>0.56233</c:v>
                </c:pt>
                <c:pt idx="22">
                  <c:v>0.56276000000000004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54-468A-B07B-B65FE0B66AB5}"/>
            </c:ext>
          </c:extLst>
        </c:ser>
        <c:ser>
          <c:idx val="3"/>
          <c:order val="3"/>
          <c:tx>
            <c:strRef>
              <c:f>'coeff_lift_AoA'!$E$1</c:f>
              <c:strCache>
                <c:ptCount val="1"/>
                <c:pt idx="0">
                  <c:v>t/c = .10    M = 2.48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'coeff_lift_AoA'!$A$2:$A$24</c:f>
              <c:numCache>
                <c:formatCode>General</c:formatCode>
                <c:ptCount val="23"/>
                <c:pt idx="0">
                  <c:v>6.5600000000000006E-2</c:v>
                </c:pt>
                <c:pt idx="1">
                  <c:v>7.7600000000000002E-2</c:v>
                </c:pt>
                <c:pt idx="2">
                  <c:v>9.64E-2</c:v>
                </c:pt>
                <c:pt idx="3">
                  <c:v>0.1047</c:v>
                </c:pt>
                <c:pt idx="4">
                  <c:v>1.9829000000000001</c:v>
                </c:pt>
                <c:pt idx="5">
                  <c:v>2.0034000000000001</c:v>
                </c:pt>
                <c:pt idx="6">
                  <c:v>2.0070999999999999</c:v>
                </c:pt>
                <c:pt idx="7">
                  <c:v>2.0131999999999999</c:v>
                </c:pt>
                <c:pt idx="8">
                  <c:v>4.0237999999999996</c:v>
                </c:pt>
                <c:pt idx="9">
                  <c:v>4.0266999999999999</c:v>
                </c:pt>
                <c:pt idx="10">
                  <c:v>4.0282</c:v>
                </c:pt>
                <c:pt idx="11">
                  <c:v>4.0453000000000001</c:v>
                </c:pt>
                <c:pt idx="12">
                  <c:v>5.0808</c:v>
                </c:pt>
                <c:pt idx="13">
                  <c:v>6.0433000000000003</c:v>
                </c:pt>
                <c:pt idx="14">
                  <c:v>6.0477999999999996</c:v>
                </c:pt>
                <c:pt idx="15">
                  <c:v>6.0632999999999999</c:v>
                </c:pt>
                <c:pt idx="16">
                  <c:v>8.0496999999999996</c:v>
                </c:pt>
                <c:pt idx="17">
                  <c:v>8.0509000000000004</c:v>
                </c:pt>
                <c:pt idx="18">
                  <c:v>8.0614000000000008</c:v>
                </c:pt>
                <c:pt idx="19">
                  <c:v>10.0465</c:v>
                </c:pt>
                <c:pt idx="20">
                  <c:v>10.054</c:v>
                </c:pt>
                <c:pt idx="21">
                  <c:v>12.018000000000001</c:v>
                </c:pt>
                <c:pt idx="22">
                  <c:v>12.026999999999999</c:v>
                </c:pt>
              </c:numCache>
            </c:numRef>
          </c:xVal>
          <c:yVal>
            <c:numRef>
              <c:f>'coeff_lift_AoA'!$E$2:$E$24</c:f>
              <c:numCache>
                <c:formatCode>General</c:formatCode>
                <c:ptCount val="23"/>
                <c:pt idx="0">
                  <c:v>7.3999999999999999E-4</c:v>
                </c:pt>
                <c:pt idx="1">
                  <c:v>1.14E-3</c:v>
                </c:pt>
                <c:pt idx="2">
                  <c:v>1.7600000000000001E-3</c:v>
                </c:pt>
                <c:pt idx="3">
                  <c:v>2.0400000000000001E-3</c:v>
                </c:pt>
                <c:pt idx="4">
                  <c:v>6.4079999999999998E-2</c:v>
                </c:pt>
                <c:pt idx="5">
                  <c:v>6.4740000000000006E-2</c:v>
                </c:pt>
                <c:pt idx="6">
                  <c:v>6.4860000000000001E-2</c:v>
                </c:pt>
                <c:pt idx="7">
                  <c:v>6.5060000000000007E-2</c:v>
                </c:pt>
                <c:pt idx="8">
                  <c:v>0.12927</c:v>
                </c:pt>
                <c:pt idx="9">
                  <c:v>0.12936</c:v>
                </c:pt>
                <c:pt idx="10">
                  <c:v>0.12941</c:v>
                </c:pt>
                <c:pt idx="11">
                  <c:v>0.12995999999999999</c:v>
                </c:pt>
                <c:pt idx="12">
                  <c:v>0.16416</c:v>
                </c:pt>
                <c:pt idx="13">
                  <c:v>0.19586000000000001</c:v>
                </c:pt>
                <c:pt idx="14">
                  <c:v>0.19600999999999999</c:v>
                </c:pt>
                <c:pt idx="15">
                  <c:v>0.19650999999999999</c:v>
                </c:pt>
                <c:pt idx="16">
                  <c:v>0.25939000000000001</c:v>
                </c:pt>
                <c:pt idx="17">
                  <c:v>0.25942999999999999</c:v>
                </c:pt>
                <c:pt idx="18">
                  <c:v>0.25975999999999999</c:v>
                </c:pt>
                <c:pt idx="19">
                  <c:v>0.32372000000000001</c:v>
                </c:pt>
                <c:pt idx="20">
                  <c:v>0.32396000000000003</c:v>
                </c:pt>
                <c:pt idx="21">
                  <c:v>0.38651999999999997</c:v>
                </c:pt>
                <c:pt idx="22">
                  <c:v>0.38680999999999999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54-468A-B07B-B65FE0B66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68639"/>
        <c:axId val="76765759"/>
      </c:scatterChart>
      <c:valAx>
        <c:axId val="7676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AoA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5759"/>
        <c:crosses val="autoZero"/>
        <c:crossBetween val="midCat"/>
      </c:valAx>
      <c:valAx>
        <c:axId val="7676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8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Variation of Cd with t/c and AoA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'coeff_drag_AoA '!$B$1</c:f>
              <c:strCache>
                <c:ptCount val="1"/>
                <c:pt idx="0">
                  <c:v>t/c = .105   M = 1.48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'coeff_drag_AoA '!$A$2:$A$14</c:f>
              <c:numCache>
                <c:formatCode>General</c:formatCode>
                <c:ptCount val="13"/>
                <c:pt idx="0">
                  <c:v>-1.26E-2</c:v>
                </c:pt>
                <c:pt idx="1">
                  <c:v>-1.12E-2</c:v>
                </c:pt>
                <c:pt idx="2">
                  <c:v>3.0700000000000002E-2</c:v>
                </c:pt>
                <c:pt idx="3">
                  <c:v>0.09</c:v>
                </c:pt>
                <c:pt idx="4">
                  <c:v>1.9852000000000001</c:v>
                </c:pt>
                <c:pt idx="5">
                  <c:v>1.9959</c:v>
                </c:pt>
                <c:pt idx="6">
                  <c:v>1.9988999999999999</c:v>
                </c:pt>
                <c:pt idx="7">
                  <c:v>2.0125000000000002</c:v>
                </c:pt>
                <c:pt idx="8">
                  <c:v>3.9910000000000001</c:v>
                </c:pt>
                <c:pt idx="9">
                  <c:v>4.0068999999999999</c:v>
                </c:pt>
                <c:pt idx="10">
                  <c:v>4.0137</c:v>
                </c:pt>
                <c:pt idx="11">
                  <c:v>4.0144000000000002</c:v>
                </c:pt>
                <c:pt idx="12">
                  <c:v>4.8723999999999998</c:v>
                </c:pt>
              </c:numCache>
            </c:numRef>
          </c:xVal>
          <c:yVal>
            <c:numRef>
              <c:f>'coeff_drag_AoA '!$B$2:$B$14</c:f>
              <c:numCache>
                <c:formatCode>General</c:formatCode>
                <c:ptCount val="13"/>
                <c:pt idx="0">
                  <c:v>4.0111000000000001E-2</c:v>
                </c:pt>
                <c:pt idx="1">
                  <c:v>4.0113000000000003E-2</c:v>
                </c:pt>
                <c:pt idx="2">
                  <c:v>4.0169999999999997E-2</c:v>
                </c:pt>
                <c:pt idx="3">
                  <c:v>4.0252000000000003E-2</c:v>
                </c:pt>
                <c:pt idx="4">
                  <c:v>4.6225000000000002E-2</c:v>
                </c:pt>
                <c:pt idx="5">
                  <c:v>4.6289999999999998E-2</c:v>
                </c:pt>
                <c:pt idx="6">
                  <c:v>4.6309000000000003E-2</c:v>
                </c:pt>
                <c:pt idx="7">
                  <c:v>4.6392999999999997E-2</c:v>
                </c:pt>
                <c:pt idx="8">
                  <c:v>6.4388000000000001E-2</c:v>
                </c:pt>
                <c:pt idx="9">
                  <c:v>6.4573000000000005E-2</c:v>
                </c:pt>
                <c:pt idx="10">
                  <c:v>6.4651E-2</c:v>
                </c:pt>
                <c:pt idx="11">
                  <c:v>6.4659999999999995E-2</c:v>
                </c:pt>
                <c:pt idx="12">
                  <c:v>7.6887999999999998E-2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0-4684-AFAD-6DFDBA2B9AD3}"/>
            </c:ext>
          </c:extLst>
        </c:ser>
        <c:ser>
          <c:idx val="1"/>
          <c:order val="1"/>
          <c:tx>
            <c:strRef>
              <c:f>'coeff_drag_AoA '!$C$1</c:f>
              <c:strCache>
                <c:ptCount val="1"/>
                <c:pt idx="0">
                  <c:v>t/c = .105   M = 1.58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'coeff_drag_AoA '!$A$2:$A$22</c:f>
              <c:numCache>
                <c:formatCode>General</c:formatCode>
                <c:ptCount val="21"/>
                <c:pt idx="0">
                  <c:v>-1.26E-2</c:v>
                </c:pt>
                <c:pt idx="1">
                  <c:v>-1.12E-2</c:v>
                </c:pt>
                <c:pt idx="2">
                  <c:v>3.0700000000000002E-2</c:v>
                </c:pt>
                <c:pt idx="3">
                  <c:v>0.09</c:v>
                </c:pt>
                <c:pt idx="4">
                  <c:v>1.9852000000000001</c:v>
                </c:pt>
                <c:pt idx="5">
                  <c:v>1.9959</c:v>
                </c:pt>
                <c:pt idx="6">
                  <c:v>1.9988999999999999</c:v>
                </c:pt>
                <c:pt idx="7">
                  <c:v>2.0125000000000002</c:v>
                </c:pt>
                <c:pt idx="8">
                  <c:v>3.9910000000000001</c:v>
                </c:pt>
                <c:pt idx="9">
                  <c:v>4.0068999999999999</c:v>
                </c:pt>
                <c:pt idx="10">
                  <c:v>4.0137</c:v>
                </c:pt>
                <c:pt idx="11">
                  <c:v>4.0144000000000002</c:v>
                </c:pt>
                <c:pt idx="12">
                  <c:v>4.8723999999999998</c:v>
                </c:pt>
                <c:pt idx="13">
                  <c:v>6.0007999999999999</c:v>
                </c:pt>
                <c:pt idx="14">
                  <c:v>6.0042</c:v>
                </c:pt>
                <c:pt idx="15">
                  <c:v>6.008</c:v>
                </c:pt>
                <c:pt idx="16">
                  <c:v>7.9809999999999999</c:v>
                </c:pt>
                <c:pt idx="17">
                  <c:v>8.0135000000000005</c:v>
                </c:pt>
                <c:pt idx="18">
                  <c:v>8.0213999999999999</c:v>
                </c:pt>
                <c:pt idx="19">
                  <c:v>9.9659999999999993</c:v>
                </c:pt>
                <c:pt idx="20">
                  <c:v>9.9931000000000001</c:v>
                </c:pt>
              </c:numCache>
            </c:numRef>
          </c:xVal>
          <c:yVal>
            <c:numRef>
              <c:f>'coeff_drag_AoA '!$C$2:$C$22</c:f>
              <c:numCache>
                <c:formatCode>General</c:formatCode>
                <c:ptCount val="21"/>
                <c:pt idx="0">
                  <c:v>3.5723999999999999E-2</c:v>
                </c:pt>
                <c:pt idx="1">
                  <c:v>3.5725E-2</c:v>
                </c:pt>
                <c:pt idx="2">
                  <c:v>3.5763000000000003E-2</c:v>
                </c:pt>
                <c:pt idx="3">
                  <c:v>3.5818000000000003E-2</c:v>
                </c:pt>
                <c:pt idx="4">
                  <c:v>4.0008000000000002E-2</c:v>
                </c:pt>
                <c:pt idx="5">
                  <c:v>4.0057000000000002E-2</c:v>
                </c:pt>
                <c:pt idx="6">
                  <c:v>4.0071000000000002E-2</c:v>
                </c:pt>
                <c:pt idx="7">
                  <c:v>4.0134000000000003E-2</c:v>
                </c:pt>
                <c:pt idx="8">
                  <c:v>5.4302000000000003E-2</c:v>
                </c:pt>
                <c:pt idx="9">
                  <c:v>5.4441999999999997E-2</c:v>
                </c:pt>
                <c:pt idx="10">
                  <c:v>5.4501000000000001E-2</c:v>
                </c:pt>
                <c:pt idx="11">
                  <c:v>5.4507E-2</c:v>
                </c:pt>
                <c:pt idx="12">
                  <c:v>6.2639E-2</c:v>
                </c:pt>
                <c:pt idx="13">
                  <c:v>7.7547000000000005E-2</c:v>
                </c:pt>
                <c:pt idx="14">
                  <c:v>7.7603000000000005E-2</c:v>
                </c:pt>
                <c:pt idx="15">
                  <c:v>7.7664999999999998E-2</c:v>
                </c:pt>
                <c:pt idx="16">
                  <c:v>0.119684</c:v>
                </c:pt>
                <c:pt idx="17">
                  <c:v>0.12045400000000001</c:v>
                </c:pt>
                <c:pt idx="18">
                  <c:v>0.120641</c:v>
                </c:pt>
                <c:pt idx="19">
                  <c:v>0.16190299999999999</c:v>
                </c:pt>
                <c:pt idx="20">
                  <c:v>0.16234699999999999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0-4684-AFAD-6DFDBA2B9AD3}"/>
            </c:ext>
          </c:extLst>
        </c:ser>
        <c:ser>
          <c:idx val="2"/>
          <c:order val="2"/>
          <c:tx>
            <c:strRef>
              <c:f>'coeff_drag_AoA '!$D$1</c:f>
              <c:strCache>
                <c:ptCount val="1"/>
                <c:pt idx="0">
                  <c:v>t.c = .1      M = 1.86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'coeff_drag_AoA '!$A$2:$A$26</c:f>
              <c:numCache>
                <c:formatCode>General</c:formatCode>
                <c:ptCount val="25"/>
                <c:pt idx="0">
                  <c:v>-1.26E-2</c:v>
                </c:pt>
                <c:pt idx="1">
                  <c:v>-1.12E-2</c:v>
                </c:pt>
                <c:pt idx="2">
                  <c:v>3.0700000000000002E-2</c:v>
                </c:pt>
                <c:pt idx="3">
                  <c:v>0.09</c:v>
                </c:pt>
                <c:pt idx="4">
                  <c:v>1.9852000000000001</c:v>
                </c:pt>
                <c:pt idx="5">
                  <c:v>1.9959</c:v>
                </c:pt>
                <c:pt idx="6">
                  <c:v>1.9988999999999999</c:v>
                </c:pt>
                <c:pt idx="7">
                  <c:v>2.0125000000000002</c:v>
                </c:pt>
                <c:pt idx="8">
                  <c:v>3.9910000000000001</c:v>
                </c:pt>
                <c:pt idx="9">
                  <c:v>4.0068999999999999</c:v>
                </c:pt>
                <c:pt idx="10">
                  <c:v>4.0137</c:v>
                </c:pt>
                <c:pt idx="11">
                  <c:v>4.0144000000000002</c:v>
                </c:pt>
                <c:pt idx="12">
                  <c:v>4.8723999999999998</c:v>
                </c:pt>
                <c:pt idx="13">
                  <c:v>6.0007999999999999</c:v>
                </c:pt>
                <c:pt idx="14">
                  <c:v>6.0042</c:v>
                </c:pt>
                <c:pt idx="15">
                  <c:v>6.008</c:v>
                </c:pt>
                <c:pt idx="16">
                  <c:v>7.9809999999999999</c:v>
                </c:pt>
                <c:pt idx="17">
                  <c:v>8.0135000000000005</c:v>
                </c:pt>
                <c:pt idx="18">
                  <c:v>8.0213999999999999</c:v>
                </c:pt>
                <c:pt idx="19">
                  <c:v>9.9659999999999993</c:v>
                </c:pt>
                <c:pt idx="20">
                  <c:v>9.9931000000000001</c:v>
                </c:pt>
                <c:pt idx="21">
                  <c:v>11.9581</c:v>
                </c:pt>
                <c:pt idx="22">
                  <c:v>11.99</c:v>
                </c:pt>
                <c:pt idx="23">
                  <c:v>13.741099999999999</c:v>
                </c:pt>
                <c:pt idx="24">
                  <c:v>13.9771</c:v>
                </c:pt>
              </c:numCache>
            </c:numRef>
          </c:xVal>
          <c:yVal>
            <c:numRef>
              <c:f>'coeff_drag_AoA '!$D$2:$D$26</c:f>
              <c:numCache>
                <c:formatCode>General</c:formatCode>
                <c:ptCount val="25"/>
                <c:pt idx="0">
                  <c:v>2.5255E-2</c:v>
                </c:pt>
                <c:pt idx="1">
                  <c:v>2.5255E-2</c:v>
                </c:pt>
                <c:pt idx="2">
                  <c:v>2.5267999999999999E-2</c:v>
                </c:pt>
                <c:pt idx="3">
                  <c:v>2.5284999999999998E-2</c:v>
                </c:pt>
                <c:pt idx="4">
                  <c:v>2.7796999999999999E-2</c:v>
                </c:pt>
                <c:pt idx="5">
                  <c:v>2.7831999999999999E-2</c:v>
                </c:pt>
                <c:pt idx="6">
                  <c:v>2.7843E-2</c:v>
                </c:pt>
                <c:pt idx="7">
                  <c:v>2.7889000000000001E-2</c:v>
                </c:pt>
                <c:pt idx="8">
                  <c:v>3.8452E-2</c:v>
                </c:pt>
                <c:pt idx="9">
                  <c:v>3.8551000000000002E-2</c:v>
                </c:pt>
                <c:pt idx="10">
                  <c:v>3.8593000000000002E-2</c:v>
                </c:pt>
                <c:pt idx="11">
                  <c:v>3.8598E-2</c:v>
                </c:pt>
                <c:pt idx="12">
                  <c:v>4.4090999999999998E-2</c:v>
                </c:pt>
                <c:pt idx="13">
                  <c:v>5.3133E-2</c:v>
                </c:pt>
                <c:pt idx="14">
                  <c:v>5.3165999999999998E-2</c:v>
                </c:pt>
                <c:pt idx="15">
                  <c:v>5.3201999999999999E-2</c:v>
                </c:pt>
                <c:pt idx="16">
                  <c:v>7.7476000000000003E-2</c:v>
                </c:pt>
                <c:pt idx="17">
                  <c:v>7.7946000000000001E-2</c:v>
                </c:pt>
                <c:pt idx="18">
                  <c:v>7.8060000000000004E-2</c:v>
                </c:pt>
                <c:pt idx="19">
                  <c:v>0.11017100000000001</c:v>
                </c:pt>
                <c:pt idx="20">
                  <c:v>0.110684</c:v>
                </c:pt>
                <c:pt idx="21">
                  <c:v>0.15321000000000001</c:v>
                </c:pt>
                <c:pt idx="22">
                  <c:v>0.15399199999999999</c:v>
                </c:pt>
                <c:pt idx="23">
                  <c:v>0.201099</c:v>
                </c:pt>
                <c:pt idx="24">
                  <c:v>0.207737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10-4684-AFAD-6DFDBA2B9AD3}"/>
            </c:ext>
          </c:extLst>
        </c:ser>
        <c:ser>
          <c:idx val="3"/>
          <c:order val="3"/>
          <c:tx>
            <c:strRef>
              <c:f>'coeff_drag_AoA '!$E$1</c:f>
              <c:strCache>
                <c:ptCount val="1"/>
                <c:pt idx="0">
                  <c:v>t/c = .1      M = 2.48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'coeff_drag_AoA '!$A$2:$A$26</c:f>
              <c:numCache>
                <c:formatCode>General</c:formatCode>
                <c:ptCount val="25"/>
                <c:pt idx="0">
                  <c:v>-1.26E-2</c:v>
                </c:pt>
                <c:pt idx="1">
                  <c:v>-1.12E-2</c:v>
                </c:pt>
                <c:pt idx="2">
                  <c:v>3.0700000000000002E-2</c:v>
                </c:pt>
                <c:pt idx="3">
                  <c:v>0.09</c:v>
                </c:pt>
                <c:pt idx="4">
                  <c:v>1.9852000000000001</c:v>
                </c:pt>
                <c:pt idx="5">
                  <c:v>1.9959</c:v>
                </c:pt>
                <c:pt idx="6">
                  <c:v>1.9988999999999999</c:v>
                </c:pt>
                <c:pt idx="7">
                  <c:v>2.0125000000000002</c:v>
                </c:pt>
                <c:pt idx="8">
                  <c:v>3.9910000000000001</c:v>
                </c:pt>
                <c:pt idx="9">
                  <c:v>4.0068999999999999</c:v>
                </c:pt>
                <c:pt idx="10">
                  <c:v>4.0137</c:v>
                </c:pt>
                <c:pt idx="11">
                  <c:v>4.0144000000000002</c:v>
                </c:pt>
                <c:pt idx="12">
                  <c:v>4.8723999999999998</c:v>
                </c:pt>
                <c:pt idx="13">
                  <c:v>6.0007999999999999</c:v>
                </c:pt>
                <c:pt idx="14">
                  <c:v>6.0042</c:v>
                </c:pt>
                <c:pt idx="15">
                  <c:v>6.008</c:v>
                </c:pt>
                <c:pt idx="16">
                  <c:v>7.9809999999999999</c:v>
                </c:pt>
                <c:pt idx="17">
                  <c:v>8.0135000000000005</c:v>
                </c:pt>
                <c:pt idx="18">
                  <c:v>8.0213999999999999</c:v>
                </c:pt>
                <c:pt idx="19">
                  <c:v>9.9659999999999993</c:v>
                </c:pt>
                <c:pt idx="20">
                  <c:v>9.9931000000000001</c:v>
                </c:pt>
                <c:pt idx="21">
                  <c:v>11.9581</c:v>
                </c:pt>
                <c:pt idx="22">
                  <c:v>11.99</c:v>
                </c:pt>
                <c:pt idx="23">
                  <c:v>13.741099999999999</c:v>
                </c:pt>
                <c:pt idx="24">
                  <c:v>13.9771</c:v>
                </c:pt>
              </c:numCache>
            </c:numRef>
          </c:xVal>
          <c:yVal>
            <c:numRef>
              <c:f>'coeff_drag_AoA '!$E$2:$E$26</c:f>
              <c:numCache>
                <c:formatCode>General</c:formatCode>
                <c:ptCount val="25"/>
                <c:pt idx="0">
                  <c:v>1.4614E-2</c:v>
                </c:pt>
                <c:pt idx="1">
                  <c:v>1.4615E-2</c:v>
                </c:pt>
                <c:pt idx="2">
                  <c:v>1.4675000000000001E-2</c:v>
                </c:pt>
                <c:pt idx="3">
                  <c:v>1.4760000000000001E-2</c:v>
                </c:pt>
                <c:pt idx="4">
                  <c:v>1.8525E-2</c:v>
                </c:pt>
                <c:pt idx="5">
                  <c:v>1.8557000000000001E-2</c:v>
                </c:pt>
                <c:pt idx="6">
                  <c:v>1.8567E-2</c:v>
                </c:pt>
                <c:pt idx="7">
                  <c:v>1.8608E-2</c:v>
                </c:pt>
                <c:pt idx="8">
                  <c:v>2.7029000000000001E-2</c:v>
                </c:pt>
                <c:pt idx="9">
                  <c:v>2.7109999999999999E-2</c:v>
                </c:pt>
                <c:pt idx="10">
                  <c:v>2.7144999999999999E-2</c:v>
                </c:pt>
                <c:pt idx="11">
                  <c:v>2.7147999999999999E-2</c:v>
                </c:pt>
                <c:pt idx="12">
                  <c:v>3.1758000000000002E-2</c:v>
                </c:pt>
                <c:pt idx="13">
                  <c:v>3.8528E-2</c:v>
                </c:pt>
                <c:pt idx="14">
                  <c:v>3.8550000000000001E-2</c:v>
                </c:pt>
                <c:pt idx="15">
                  <c:v>3.8573999999999997E-2</c:v>
                </c:pt>
                <c:pt idx="16">
                  <c:v>5.3057E-2</c:v>
                </c:pt>
                <c:pt idx="17">
                  <c:v>5.3338999999999998E-2</c:v>
                </c:pt>
                <c:pt idx="18">
                  <c:v>5.3407999999999997E-2</c:v>
                </c:pt>
                <c:pt idx="19">
                  <c:v>7.3562000000000002E-2</c:v>
                </c:pt>
                <c:pt idx="20">
                  <c:v>7.3888999999999996E-2</c:v>
                </c:pt>
                <c:pt idx="21">
                  <c:v>0.101116</c:v>
                </c:pt>
                <c:pt idx="22">
                  <c:v>0.101617</c:v>
                </c:pt>
                <c:pt idx="23">
                  <c:v>0.13144600000000001</c:v>
                </c:pt>
                <c:pt idx="24">
                  <c:v>0.13564399999999999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10-4684-AFAD-6DFDBA2B9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22559"/>
        <c:axId val="130814399"/>
      </c:scatterChart>
      <c:valAx>
        <c:axId val="130822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AoA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14399"/>
        <c:crosses val="autoZero"/>
        <c:crossBetween val="midCat"/>
      </c:valAx>
      <c:valAx>
        <c:axId val="13081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22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142875</xdr:colOff>
          <xdr:row>13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CALCULATE FLOW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17</xdr:row>
      <xdr:rowOff>0</xdr:rowOff>
    </xdr:from>
    <xdr:to>
      <xdr:col>6</xdr:col>
      <xdr:colOff>476250</xdr:colOff>
      <xdr:row>37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152B999-085F-C4A2-A9A1-431F2276F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535781</xdr:colOff>
      <xdr:row>2</xdr:row>
      <xdr:rowOff>61913</xdr:rowOff>
    </xdr:from>
    <xdr:to>
      <xdr:col>12</xdr:col>
      <xdr:colOff>573881</xdr:colOff>
      <xdr:row>17</xdr:row>
      <xdr:rowOff>90488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F6569-C630-653A-B918-E89BED744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11905</xdr:colOff>
      <xdr:row>4</xdr:row>
      <xdr:rowOff>95251</xdr:rowOff>
    </xdr:from>
    <xdr:to>
      <xdr:col>13</xdr:col>
      <xdr:colOff>50005</xdr:colOff>
      <xdr:row>19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4F3CF8-52F3-BFE8-4927-C3275B2316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D13A60-2849-460E-8DBC-4CD747A4B010}" autoFormatId="16" applyNumberFormats="0" applyBorderFormats="0" applyFontFormats="0" applyPatternFormats="0" applyAlignmentFormats="0" applyWidthHeightFormats="0">
  <queryTableRefresh nextId="6">
    <queryTableFields count="5">
      <queryTableField id="1" name="x" tableColumnId="1"/>
      <queryTableField id="2" name="t/c = .105   M = 1.48" tableColumnId="2"/>
      <queryTableField id="3" name="t/c = .105   M = 1.58" tableColumnId="3"/>
      <queryTableField id="4" name="t/c = .10    M = 1.86" tableColumnId="4"/>
      <queryTableField id="5" name="t/c = .10    M = 2.48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8997774-CB37-4CAD-B118-2CC96D0626B5}" autoFormatId="16" applyNumberFormats="0" applyBorderFormats="0" applyFontFormats="0" applyPatternFormats="0" applyAlignmentFormats="0" applyWidthHeightFormats="0">
  <queryTableRefresh nextId="6">
    <queryTableFields count="5">
      <queryTableField id="1" name="x" tableColumnId="1"/>
      <queryTableField id="2" name="t/c = .105   M = 1.48" tableColumnId="2"/>
      <queryTableField id="3" name="t/c = .105   M = 1.58" tableColumnId="3"/>
      <queryTableField id="4" name="t.c = .1      M = 1.86" tableColumnId="4"/>
      <queryTableField id="5" name="t/c = .1      M = 2.48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677C70-2443-48EE-9FFC-10BB079748C9}" name="coeff_lift_AoA" displayName="coeff_lift_AoA" ref="A1:E24" tableType="queryTable" totalsRowShown="0">
  <autoFilter ref="A1:E24" xr:uid="{CF677C70-2443-48EE-9FFC-10BB079748C9}"/>
  <tableColumns count="5">
    <tableColumn id="1" xr3:uid="{1DB96820-3160-4658-B0AD-71BCC1EBF64A}" uniqueName="1" name="x" queryTableFieldId="1"/>
    <tableColumn id="2" xr3:uid="{0EDB6A97-BA3C-4AED-95E4-E00CDD6392BE}" uniqueName="2" name="t/c = .105   M = 1.48" queryTableFieldId="2"/>
    <tableColumn id="3" xr3:uid="{B3AC6174-2E8F-4AFE-81E4-5E26075EDC7D}" uniqueName="3" name="t/c = .105   M = 1.58" queryTableFieldId="3"/>
    <tableColumn id="4" xr3:uid="{6CBA82D1-EFB0-4079-8AFE-DF9D3D8E47D2}" uniqueName="4" name="t/c = .10    M = 1.86" queryTableFieldId="4"/>
    <tableColumn id="5" xr3:uid="{821D6C87-7C39-4082-BE36-B52EE62B7D13}" uniqueName="5" name="t/c = .10    M = 2.48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F3221F-EF70-4F36-889F-5F35E9ADE788}" name="coeff_drag_AoA" displayName="coeff_drag_AoA" ref="A1:E26" tableType="queryTable" totalsRowShown="0">
  <autoFilter ref="A1:E26" xr:uid="{E3F3221F-EF70-4F36-889F-5F35E9ADE788}"/>
  <tableColumns count="5">
    <tableColumn id="1" xr3:uid="{4B3EAB3A-41B5-4F66-A1C5-EE1AEC87E68E}" uniqueName="1" name="x" queryTableFieldId="1"/>
    <tableColumn id="2" xr3:uid="{03AB25D0-BD5F-44AF-8117-1E3381A1AD83}" uniqueName="2" name="t/c = .105   M = 1.48" queryTableFieldId="2"/>
    <tableColumn id="3" xr3:uid="{80F895BB-6582-4C42-B15C-6B415E8C77CD}" uniqueName="3" name="t/c = .105   M = 1.58" queryTableFieldId="3"/>
    <tableColumn id="4" xr3:uid="{8C313ADD-70F7-4B22-AC9D-75FA0226E146}" uniqueName="4" name="t.c = .1      M = 1.86" queryTableFieldId="4"/>
    <tableColumn id="5" xr3:uid="{FA8163C8-EAD5-4E35-B28C-68CE3467A100}" uniqueName="5" name="t/c = .1      M = 2.48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D87C-77ED-4749-AA2A-98DF829697B2}">
  <sheetPr codeName="Sheet2"/>
  <dimension ref="B1:AG16"/>
  <sheetViews>
    <sheetView tabSelected="1" topLeftCell="A3" workbookViewId="0">
      <selection activeCell="H23" sqref="H23"/>
    </sheetView>
  </sheetViews>
  <sheetFormatPr defaultColWidth="9.140625" defaultRowHeight="15" x14ac:dyDescent="0.25"/>
  <cols>
    <col min="1" max="1" width="9.140625" style="1"/>
    <col min="2" max="3" width="20.7109375" style="1" customWidth="1"/>
    <col min="4" max="4" width="5.7109375" style="1" customWidth="1"/>
    <col min="5" max="8" width="15.7109375" style="1" customWidth="1"/>
    <col min="9" max="9" width="21.42578125" style="1" customWidth="1"/>
    <col min="10" max="10" width="15.7109375" style="1" customWidth="1"/>
    <col min="11" max="16384" width="9.140625" style="1"/>
  </cols>
  <sheetData>
    <row r="1" spans="2:33" x14ac:dyDescent="0.25">
      <c r="N1" s="1" t="s">
        <v>0</v>
      </c>
    </row>
    <row r="2" spans="2:33" ht="26.25" x14ac:dyDescent="0.4">
      <c r="B2" s="2" t="s">
        <v>1</v>
      </c>
      <c r="N2" s="1">
        <v>0</v>
      </c>
      <c r="O2" s="1">
        <v>0</v>
      </c>
      <c r="P2" s="1">
        <v>0.50152763708642922</v>
      </c>
      <c r="Q2" s="1">
        <v>3.501827006725089E-2</v>
      </c>
      <c r="R2" s="1">
        <v>0</v>
      </c>
      <c r="S2" s="1">
        <v>0</v>
      </c>
      <c r="T2" s="1">
        <v>0.49786318993266643</v>
      </c>
      <c r="U2" s="1">
        <v>-6.9917766769754155E-2</v>
      </c>
      <c r="V2" s="1">
        <v>0</v>
      </c>
      <c r="W2" s="1">
        <v>0</v>
      </c>
      <c r="X2" s="1">
        <v>0</v>
      </c>
      <c r="Y2" s="1">
        <v>0</v>
      </c>
      <c r="Z2" s="1">
        <v>0.50152763708642922</v>
      </c>
      <c r="AA2" s="1">
        <v>3.501827006725089E-2</v>
      </c>
      <c r="AB2" s="1">
        <v>0.50152763708642922</v>
      </c>
      <c r="AC2" s="1">
        <v>3.501827006725089E-2</v>
      </c>
      <c r="AD2" s="1">
        <v>0.49786318993266643</v>
      </c>
      <c r="AE2" s="1">
        <v>-6.9917766769754155E-2</v>
      </c>
      <c r="AF2" s="1">
        <v>0.49786318993266643</v>
      </c>
      <c r="AG2" s="1">
        <v>-6.9917766769754155E-2</v>
      </c>
    </row>
    <row r="3" spans="2:33" x14ac:dyDescent="0.25">
      <c r="N3" s="1">
        <v>0.50152763708642922</v>
      </c>
      <c r="O3" s="1">
        <v>3.501827006725089E-2</v>
      </c>
      <c r="P3" s="1">
        <v>0.99939082701909565</v>
      </c>
      <c r="Q3" s="1">
        <v>-3.4899496702503266E-2</v>
      </c>
      <c r="R3" s="1">
        <v>0.49786318993266643</v>
      </c>
      <c r="S3" s="1">
        <v>-6.9917766769754155E-2</v>
      </c>
      <c r="T3" s="1">
        <v>0.99939082701909565</v>
      </c>
      <c r="U3" s="1">
        <v>-3.4899496702503266E-2</v>
      </c>
      <c r="V3" s="1">
        <v>0.33870701050332486</v>
      </c>
      <c r="W3" s="1">
        <v>0.36780098019975499</v>
      </c>
      <c r="X3" s="1">
        <v>0.29625989393892127</v>
      </c>
      <c r="Y3" s="1">
        <v>-0.40277794781156911</v>
      </c>
      <c r="Z3" s="1">
        <v>0.80784324768338489</v>
      </c>
      <c r="AA3" s="1">
        <v>0.43020271650285419</v>
      </c>
      <c r="AB3" s="1">
        <v>0.94765967180010935</v>
      </c>
      <c r="AC3" s="1">
        <v>0.26077523585619755</v>
      </c>
      <c r="AD3" s="1">
        <v>0.7043240368913718</v>
      </c>
      <c r="AE3" s="1">
        <v>-0.52530103246261428</v>
      </c>
      <c r="AF3" s="1">
        <v>0.91042659068401055</v>
      </c>
      <c r="AG3" s="1">
        <v>-0.35239155380226067</v>
      </c>
    </row>
    <row r="4" spans="2:33" x14ac:dyDescent="0.25">
      <c r="B4" s="4" t="s">
        <v>2</v>
      </c>
      <c r="E4" s="4" t="s">
        <v>3</v>
      </c>
    </row>
    <row r="5" spans="2:33" x14ac:dyDescent="0.25">
      <c r="B5" s="1" t="s">
        <v>4</v>
      </c>
      <c r="C5" s="5">
        <v>1.48</v>
      </c>
      <c r="E5" s="1" t="s">
        <v>5</v>
      </c>
      <c r="F5" s="6">
        <v>0.13800000000000001</v>
      </c>
    </row>
    <row r="6" spans="2:33" x14ac:dyDescent="0.25">
      <c r="B6" s="1" t="s">
        <v>6</v>
      </c>
      <c r="C6" s="5">
        <v>2</v>
      </c>
      <c r="E6" s="1" t="s">
        <v>7</v>
      </c>
      <c r="F6" s="6">
        <v>4.65E-2</v>
      </c>
    </row>
    <row r="7" spans="2:33" x14ac:dyDescent="0.25">
      <c r="E7" s="1" t="s">
        <v>8</v>
      </c>
      <c r="F7" s="6">
        <v>2.97</v>
      </c>
    </row>
    <row r="8" spans="2:33" x14ac:dyDescent="0.25">
      <c r="B8" s="4" t="s">
        <v>9</v>
      </c>
      <c r="E8" s="1" t="s">
        <v>10</v>
      </c>
      <c r="F8" s="9" t="s">
        <v>11</v>
      </c>
    </row>
    <row r="9" spans="2:33" x14ac:dyDescent="0.25">
      <c r="B9" s="1" t="s">
        <v>12</v>
      </c>
      <c r="C9" s="5">
        <v>0.105</v>
      </c>
    </row>
    <row r="10" spans="2:33" x14ac:dyDescent="0.25">
      <c r="B10" s="1" t="s">
        <v>13</v>
      </c>
      <c r="C10" s="5">
        <v>0.5</v>
      </c>
    </row>
    <row r="11" spans="2:33" x14ac:dyDescent="0.25">
      <c r="E11" s="3" t="s">
        <v>14</v>
      </c>
    </row>
    <row r="12" spans="2:33" x14ac:dyDescent="0.25">
      <c r="E12" s="7" t="s">
        <v>15</v>
      </c>
      <c r="F12" s="7" t="s">
        <v>16</v>
      </c>
      <c r="G12" s="7" t="s">
        <v>17</v>
      </c>
      <c r="H12" s="7" t="s">
        <v>18</v>
      </c>
      <c r="I12" s="7" t="s">
        <v>19</v>
      </c>
      <c r="J12" s="7" t="s">
        <v>20</v>
      </c>
    </row>
    <row r="13" spans="2:33" x14ac:dyDescent="0.25">
      <c r="E13" s="1" t="s">
        <v>21</v>
      </c>
      <c r="F13" s="8" t="s">
        <v>25</v>
      </c>
      <c r="G13" s="1">
        <v>3.99</v>
      </c>
      <c r="H13" s="1">
        <v>1.34</v>
      </c>
      <c r="I13" s="1">
        <v>1.216</v>
      </c>
      <c r="J13" s="1">
        <v>0.14099999999999999</v>
      </c>
    </row>
    <row r="14" spans="2:33" x14ac:dyDescent="0.25">
      <c r="E14" s="1" t="s">
        <v>23</v>
      </c>
      <c r="F14" s="8" t="s">
        <v>22</v>
      </c>
      <c r="G14" s="1">
        <v>11.99</v>
      </c>
      <c r="H14" s="1">
        <v>1.75</v>
      </c>
      <c r="I14" s="1">
        <v>0.66900000000000004</v>
      </c>
      <c r="J14" s="1">
        <v>-0.21609999999999999</v>
      </c>
    </row>
    <row r="15" spans="2:33" x14ac:dyDescent="0.25">
      <c r="E15" s="1" t="s">
        <v>24</v>
      </c>
      <c r="F15" s="8" t="s">
        <v>25</v>
      </c>
      <c r="G15" s="1">
        <v>7.99</v>
      </c>
      <c r="H15" s="1">
        <v>1.18</v>
      </c>
      <c r="I15" s="1">
        <v>1.492</v>
      </c>
      <c r="J15" s="1">
        <v>0.3206</v>
      </c>
    </row>
    <row r="16" spans="2:33" x14ac:dyDescent="0.25">
      <c r="E16" s="1" t="s">
        <v>26</v>
      </c>
      <c r="F16" s="8" t="s">
        <v>22</v>
      </c>
      <c r="G16" s="1">
        <v>11.99</v>
      </c>
      <c r="H16" s="1">
        <v>1.61</v>
      </c>
      <c r="I16" s="1">
        <v>0.82099999999999995</v>
      </c>
      <c r="J16" s="1">
        <v>-0.1166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Run_Analysi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142875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38F7B-208B-45EB-A51B-E379B6D81913}">
  <sheetPr codeName="Sheet1"/>
  <dimension ref="A1:E24"/>
  <sheetViews>
    <sheetView workbookViewId="0">
      <selection activeCell="O7" sqref="O7"/>
    </sheetView>
  </sheetViews>
  <sheetFormatPr defaultRowHeight="15" x14ac:dyDescent="0.25"/>
  <cols>
    <col min="1" max="1" width="7.7109375" bestFit="1" customWidth="1"/>
    <col min="2" max="3" width="18" bestFit="1" customWidth="1"/>
    <col min="4" max="5" width="17.28515625" bestFit="1" customWidth="1"/>
  </cols>
  <sheetData>
    <row r="1" spans="1:5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 x14ac:dyDescent="0.25">
      <c r="A2">
        <v>6.5600000000000006E-2</v>
      </c>
      <c r="B2">
        <v>8.3499999999999998E-3</v>
      </c>
      <c r="C2">
        <v>7.26E-3</v>
      </c>
      <c r="D2">
        <v>4.5399999999999998E-3</v>
      </c>
      <c r="E2">
        <v>7.3999999999999999E-4</v>
      </c>
    </row>
    <row r="3" spans="1:5" x14ac:dyDescent="0.25">
      <c r="A3">
        <v>7.7600000000000002E-2</v>
      </c>
      <c r="B3">
        <v>9.1199999999999996E-3</v>
      </c>
      <c r="C3">
        <v>7.9100000000000004E-3</v>
      </c>
      <c r="D3">
        <v>5.0400000000000002E-3</v>
      </c>
      <c r="E3">
        <v>1.14E-3</v>
      </c>
    </row>
    <row r="4" spans="1:5" x14ac:dyDescent="0.25">
      <c r="A4">
        <v>9.64E-2</v>
      </c>
      <c r="B4">
        <v>1.034E-2</v>
      </c>
      <c r="C4">
        <v>8.9099999999999995E-3</v>
      </c>
      <c r="D4">
        <v>5.8399999999999997E-3</v>
      </c>
      <c r="E4">
        <v>1.7600000000000001E-3</v>
      </c>
    </row>
    <row r="5" spans="1:5" x14ac:dyDescent="0.25">
      <c r="A5">
        <v>0.1047</v>
      </c>
      <c r="B5">
        <v>1.0869999999999999E-2</v>
      </c>
      <c r="C5">
        <v>9.3600000000000003E-3</v>
      </c>
      <c r="D5">
        <v>6.1900000000000002E-3</v>
      </c>
      <c r="E5">
        <v>2.0400000000000001E-3</v>
      </c>
    </row>
    <row r="6" spans="1:5" x14ac:dyDescent="0.25">
      <c r="A6">
        <v>1.9829000000000001</v>
      </c>
      <c r="B6">
        <v>0.13705999999999999</v>
      </c>
      <c r="C6">
        <v>0.11362999999999999</v>
      </c>
      <c r="D6">
        <v>8.7359999999999993E-2</v>
      </c>
      <c r="E6">
        <v>6.4079999999999998E-2</v>
      </c>
    </row>
    <row r="7" spans="1:5" x14ac:dyDescent="0.25">
      <c r="A7">
        <v>2.0034000000000001</v>
      </c>
      <c r="B7">
        <v>0.13852</v>
      </c>
      <c r="C7">
        <v>0.11484</v>
      </c>
      <c r="D7">
        <v>8.8289999999999993E-2</v>
      </c>
      <c r="E7">
        <v>6.4740000000000006E-2</v>
      </c>
    </row>
    <row r="8" spans="1:5" x14ac:dyDescent="0.25">
      <c r="A8">
        <v>2.0070999999999999</v>
      </c>
      <c r="B8">
        <v>0.13879</v>
      </c>
      <c r="C8">
        <v>0.11506</v>
      </c>
      <c r="D8">
        <v>8.8459999999999997E-2</v>
      </c>
      <c r="E8">
        <v>6.4860000000000001E-2</v>
      </c>
    </row>
    <row r="9" spans="1:5" x14ac:dyDescent="0.25">
      <c r="A9">
        <v>2.0131999999999999</v>
      </c>
      <c r="B9">
        <v>0.13922000000000001</v>
      </c>
      <c r="C9">
        <v>0.11541999999999999</v>
      </c>
      <c r="D9">
        <v>8.8730000000000003E-2</v>
      </c>
      <c r="E9">
        <v>6.5060000000000007E-2</v>
      </c>
    </row>
    <row r="10" spans="1:5" x14ac:dyDescent="0.25">
      <c r="A10">
        <v>4.0237999999999996</v>
      </c>
      <c r="B10">
        <v>0.29108000000000001</v>
      </c>
      <c r="C10">
        <v>0.2404</v>
      </c>
      <c r="D10">
        <v>0.18296999999999999</v>
      </c>
      <c r="E10">
        <v>0.12927</v>
      </c>
    </row>
    <row r="11" spans="1:5" x14ac:dyDescent="0.25">
      <c r="A11">
        <v>4.0266999999999999</v>
      </c>
      <c r="B11">
        <v>0.29132000000000002</v>
      </c>
      <c r="C11">
        <v>0.24059</v>
      </c>
      <c r="D11">
        <v>0.18310999999999999</v>
      </c>
      <c r="E11">
        <v>0.12936</v>
      </c>
    </row>
    <row r="12" spans="1:5" x14ac:dyDescent="0.25">
      <c r="A12">
        <v>4.0282</v>
      </c>
      <c r="B12">
        <v>0.29143999999999998</v>
      </c>
      <c r="C12">
        <v>0.24068000000000001</v>
      </c>
      <c r="D12">
        <v>0.18318000000000001</v>
      </c>
      <c r="E12">
        <v>0.12941</v>
      </c>
    </row>
    <row r="13" spans="1:5" x14ac:dyDescent="0.25">
      <c r="A13">
        <v>4.0453000000000001</v>
      </c>
      <c r="B13">
        <v>0.29281000000000001</v>
      </c>
      <c r="C13">
        <v>0.24176</v>
      </c>
      <c r="D13">
        <v>0.184</v>
      </c>
      <c r="E13">
        <v>0.12995999999999999</v>
      </c>
    </row>
    <row r="14" spans="1:5" x14ac:dyDescent="0.25">
      <c r="A14">
        <v>5.0808</v>
      </c>
      <c r="B14">
        <v>0.38318999999999998</v>
      </c>
      <c r="C14">
        <v>0.30820999999999998</v>
      </c>
      <c r="D14">
        <v>0.23377999999999999</v>
      </c>
      <c r="E14">
        <v>0.16416</v>
      </c>
    </row>
    <row r="15" spans="1:5" x14ac:dyDescent="0.25">
      <c r="A15">
        <v>6.0433000000000003</v>
      </c>
      <c r="B15">
        <v>0.46767999999999998</v>
      </c>
      <c r="C15">
        <v>0.37580000000000002</v>
      </c>
      <c r="D15">
        <v>0.27994000000000002</v>
      </c>
      <c r="E15">
        <v>0.19586000000000001</v>
      </c>
    </row>
    <row r="16" spans="1:5" x14ac:dyDescent="0.25">
      <c r="A16">
        <v>6.0477999999999996</v>
      </c>
      <c r="B16">
        <v>0.46804000000000001</v>
      </c>
      <c r="C16">
        <v>0.37613999999999997</v>
      </c>
      <c r="D16">
        <v>0.28015000000000001</v>
      </c>
      <c r="E16">
        <v>0.19600999999999999</v>
      </c>
    </row>
    <row r="17" spans="1:5" x14ac:dyDescent="0.25">
      <c r="A17">
        <v>6.0632999999999999</v>
      </c>
      <c r="B17">
        <v>0.46928999999999998</v>
      </c>
      <c r="C17">
        <v>0.37730000000000002</v>
      </c>
      <c r="D17">
        <v>0.28088999999999997</v>
      </c>
      <c r="E17">
        <v>0.19650999999999999</v>
      </c>
    </row>
    <row r="18" spans="1:5" x14ac:dyDescent="0.25">
      <c r="A18">
        <v>8.0496999999999996</v>
      </c>
      <c r="B18">
        <v>0.62060999999999999</v>
      </c>
      <c r="C18">
        <v>0.54520000000000002</v>
      </c>
      <c r="D18">
        <v>0.37475000000000003</v>
      </c>
      <c r="E18">
        <v>0.25939000000000001</v>
      </c>
    </row>
    <row r="19" spans="1:5" x14ac:dyDescent="0.25">
      <c r="A19">
        <v>8.0509000000000004</v>
      </c>
      <c r="B19">
        <v>0.62070000000000003</v>
      </c>
      <c r="C19">
        <v>0.54530999999999996</v>
      </c>
      <c r="D19">
        <v>0.37480000000000002</v>
      </c>
      <c r="E19">
        <v>0.25942999999999999</v>
      </c>
    </row>
    <row r="20" spans="1:5" x14ac:dyDescent="0.25">
      <c r="A20">
        <v>8.0614000000000008</v>
      </c>
      <c r="B20">
        <v>0.62148000000000003</v>
      </c>
      <c r="C20">
        <v>0.54623999999999995</v>
      </c>
      <c r="D20">
        <v>0.37530000000000002</v>
      </c>
      <c r="E20">
        <v>0.25975999999999999</v>
      </c>
    </row>
    <row r="21" spans="1:5" x14ac:dyDescent="0.25">
      <c r="A21">
        <v>10.0465</v>
      </c>
      <c r="B21">
        <v>0.76553000000000004</v>
      </c>
      <c r="C21">
        <v>0.71387999999999996</v>
      </c>
      <c r="D21">
        <v>0.46855999999999998</v>
      </c>
      <c r="E21">
        <v>0.32372000000000001</v>
      </c>
    </row>
    <row r="22" spans="1:5" x14ac:dyDescent="0.25">
      <c r="A22">
        <v>10.054</v>
      </c>
      <c r="B22">
        <v>0.76607000000000003</v>
      </c>
      <c r="C22">
        <v>0.71445000000000003</v>
      </c>
      <c r="D22">
        <v>0.46890999999999999</v>
      </c>
      <c r="E22">
        <v>0.32396000000000003</v>
      </c>
    </row>
    <row r="23" spans="1:5" x14ac:dyDescent="0.25">
      <c r="A23">
        <v>12.018000000000001</v>
      </c>
      <c r="B23">
        <v>0.90615000000000001</v>
      </c>
      <c r="C23">
        <v>0.83057999999999998</v>
      </c>
      <c r="D23">
        <v>0.56233</v>
      </c>
      <c r="E23">
        <v>0.38651999999999997</v>
      </c>
    </row>
    <row r="24" spans="1:5" x14ac:dyDescent="0.25">
      <c r="A24">
        <v>12.026999999999999</v>
      </c>
      <c r="B24">
        <v>0.90678999999999998</v>
      </c>
      <c r="C24">
        <v>0.83094000000000001</v>
      </c>
      <c r="D24">
        <v>0.56276000000000004</v>
      </c>
      <c r="E24">
        <v>0.38680999999999999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8B0CF-9D05-4AE6-A89C-60C7166C6F7D}">
  <sheetPr codeName="Sheet3"/>
  <dimension ref="A1:E26"/>
  <sheetViews>
    <sheetView workbookViewId="0">
      <selection activeCell="J25" sqref="J25"/>
    </sheetView>
  </sheetViews>
  <sheetFormatPr defaultRowHeight="15" x14ac:dyDescent="0.25"/>
  <cols>
    <col min="1" max="1" width="7.7109375" bestFit="1" customWidth="1"/>
    <col min="2" max="3" width="18" bestFit="1" customWidth="1"/>
    <col min="4" max="4" width="16.85546875" bestFit="1" customWidth="1"/>
    <col min="5" max="5" width="17" bestFit="1" customWidth="1"/>
  </cols>
  <sheetData>
    <row r="1" spans="1:5" x14ac:dyDescent="0.25">
      <c r="A1" t="s">
        <v>27</v>
      </c>
      <c r="B1" t="s">
        <v>28</v>
      </c>
      <c r="C1" t="s">
        <v>29</v>
      </c>
      <c r="D1" t="s">
        <v>32</v>
      </c>
      <c r="E1" t="s">
        <v>33</v>
      </c>
    </row>
    <row r="2" spans="1:5" x14ac:dyDescent="0.25">
      <c r="A2">
        <v>-1.26E-2</v>
      </c>
      <c r="B2">
        <v>4.0111000000000001E-2</v>
      </c>
      <c r="C2">
        <v>3.5723999999999999E-2</v>
      </c>
      <c r="D2">
        <v>2.5255E-2</v>
      </c>
      <c r="E2">
        <v>1.4614E-2</v>
      </c>
    </row>
    <row r="3" spans="1:5" x14ac:dyDescent="0.25">
      <c r="A3">
        <v>-1.12E-2</v>
      </c>
      <c r="B3">
        <v>4.0113000000000003E-2</v>
      </c>
      <c r="C3">
        <v>3.5725E-2</v>
      </c>
      <c r="D3">
        <v>2.5255E-2</v>
      </c>
      <c r="E3">
        <v>1.4615E-2</v>
      </c>
    </row>
    <row r="4" spans="1:5" x14ac:dyDescent="0.25">
      <c r="A4">
        <v>3.0700000000000002E-2</v>
      </c>
      <c r="B4">
        <v>4.0169999999999997E-2</v>
      </c>
      <c r="C4">
        <v>3.5763000000000003E-2</v>
      </c>
      <c r="D4">
        <v>2.5267999999999999E-2</v>
      </c>
      <c r="E4">
        <v>1.4675000000000001E-2</v>
      </c>
    </row>
    <row r="5" spans="1:5" x14ac:dyDescent="0.25">
      <c r="A5">
        <v>0.09</v>
      </c>
      <c r="B5">
        <v>4.0252000000000003E-2</v>
      </c>
      <c r="C5">
        <v>3.5818000000000003E-2</v>
      </c>
      <c r="D5">
        <v>2.5284999999999998E-2</v>
      </c>
      <c r="E5">
        <v>1.4760000000000001E-2</v>
      </c>
    </row>
    <row r="6" spans="1:5" x14ac:dyDescent="0.25">
      <c r="A6">
        <v>1.9852000000000001</v>
      </c>
      <c r="B6">
        <v>4.6225000000000002E-2</v>
      </c>
      <c r="C6">
        <v>4.0008000000000002E-2</v>
      </c>
      <c r="D6">
        <v>2.7796999999999999E-2</v>
      </c>
      <c r="E6">
        <v>1.8525E-2</v>
      </c>
    </row>
    <row r="7" spans="1:5" x14ac:dyDescent="0.25">
      <c r="A7">
        <v>1.9959</v>
      </c>
      <c r="B7">
        <v>4.6289999999999998E-2</v>
      </c>
      <c r="C7">
        <v>4.0057000000000002E-2</v>
      </c>
      <c r="D7">
        <v>2.7831999999999999E-2</v>
      </c>
      <c r="E7">
        <v>1.8557000000000001E-2</v>
      </c>
    </row>
    <row r="8" spans="1:5" x14ac:dyDescent="0.25">
      <c r="A8">
        <v>1.9988999999999999</v>
      </c>
      <c r="B8">
        <v>4.6309000000000003E-2</v>
      </c>
      <c r="C8">
        <v>4.0071000000000002E-2</v>
      </c>
      <c r="D8">
        <v>2.7843E-2</v>
      </c>
      <c r="E8">
        <v>1.8567E-2</v>
      </c>
    </row>
    <row r="9" spans="1:5" x14ac:dyDescent="0.25">
      <c r="A9">
        <v>2.0125000000000002</v>
      </c>
      <c r="B9">
        <v>4.6392999999999997E-2</v>
      </c>
      <c r="C9">
        <v>4.0134000000000003E-2</v>
      </c>
      <c r="D9">
        <v>2.7889000000000001E-2</v>
      </c>
      <c r="E9">
        <v>1.8608E-2</v>
      </c>
    </row>
    <row r="10" spans="1:5" x14ac:dyDescent="0.25">
      <c r="A10">
        <v>3.9910000000000001</v>
      </c>
      <c r="B10">
        <v>6.4388000000000001E-2</v>
      </c>
      <c r="C10">
        <v>5.4302000000000003E-2</v>
      </c>
      <c r="D10">
        <v>3.8452E-2</v>
      </c>
      <c r="E10">
        <v>2.7029000000000001E-2</v>
      </c>
    </row>
    <row r="11" spans="1:5" x14ac:dyDescent="0.25">
      <c r="A11">
        <v>4.0068999999999999</v>
      </c>
      <c r="B11">
        <v>6.4573000000000005E-2</v>
      </c>
      <c r="C11">
        <v>5.4441999999999997E-2</v>
      </c>
      <c r="D11">
        <v>3.8551000000000002E-2</v>
      </c>
      <c r="E11">
        <v>2.7109999999999999E-2</v>
      </c>
    </row>
    <row r="12" spans="1:5" x14ac:dyDescent="0.25">
      <c r="A12">
        <v>4.0137</v>
      </c>
      <c r="B12">
        <v>6.4651E-2</v>
      </c>
      <c r="C12">
        <v>5.4501000000000001E-2</v>
      </c>
      <c r="D12">
        <v>3.8593000000000002E-2</v>
      </c>
      <c r="E12">
        <v>2.7144999999999999E-2</v>
      </c>
    </row>
    <row r="13" spans="1:5" x14ac:dyDescent="0.25">
      <c r="A13">
        <v>4.0144000000000002</v>
      </c>
      <c r="B13">
        <v>6.4659999999999995E-2</v>
      </c>
      <c r="C13">
        <v>5.4507E-2</v>
      </c>
      <c r="D13">
        <v>3.8598E-2</v>
      </c>
      <c r="E13">
        <v>2.7147999999999999E-2</v>
      </c>
    </row>
    <row r="14" spans="1:5" x14ac:dyDescent="0.25">
      <c r="A14">
        <v>4.8723999999999998</v>
      </c>
      <c r="B14">
        <v>7.6887999999999998E-2</v>
      </c>
      <c r="C14">
        <v>6.2639E-2</v>
      </c>
      <c r="D14">
        <v>4.4090999999999998E-2</v>
      </c>
      <c r="E14">
        <v>3.1758000000000002E-2</v>
      </c>
    </row>
    <row r="15" spans="1:5" x14ac:dyDescent="0.25">
      <c r="A15">
        <v>6.0007999999999999</v>
      </c>
      <c r="B15">
        <v>9.2169000000000001E-2</v>
      </c>
      <c r="C15">
        <v>7.7547000000000005E-2</v>
      </c>
      <c r="D15">
        <v>5.3133E-2</v>
      </c>
      <c r="E15">
        <v>3.8528E-2</v>
      </c>
    </row>
    <row r="16" spans="1:5" x14ac:dyDescent="0.25">
      <c r="A16">
        <v>6.0042</v>
      </c>
      <c r="B16">
        <v>9.2206999999999997E-2</v>
      </c>
      <c r="C16">
        <v>7.7603000000000005E-2</v>
      </c>
      <c r="D16">
        <v>5.3165999999999998E-2</v>
      </c>
      <c r="E16">
        <v>3.8550000000000001E-2</v>
      </c>
    </row>
    <row r="17" spans="1:5" x14ac:dyDescent="0.25">
      <c r="A17">
        <v>6.008</v>
      </c>
      <c r="B17">
        <v>9.2246999999999996E-2</v>
      </c>
      <c r="C17">
        <v>7.7664999999999998E-2</v>
      </c>
      <c r="D17">
        <v>5.3201999999999999E-2</v>
      </c>
      <c r="E17">
        <v>3.8573999999999997E-2</v>
      </c>
    </row>
    <row r="18" spans="1:5" x14ac:dyDescent="0.25">
      <c r="A18">
        <v>7.9809999999999999</v>
      </c>
      <c r="B18">
        <v>0.111681</v>
      </c>
      <c r="C18">
        <v>0.119684</v>
      </c>
      <c r="D18">
        <v>7.7476000000000003E-2</v>
      </c>
      <c r="E18">
        <v>5.3057E-2</v>
      </c>
    </row>
    <row r="19" spans="1:5" x14ac:dyDescent="0.25">
      <c r="A19">
        <v>8.0135000000000005</v>
      </c>
      <c r="B19">
        <v>0.111981</v>
      </c>
      <c r="C19">
        <v>0.12045400000000001</v>
      </c>
      <c r="D19">
        <v>7.7946000000000001E-2</v>
      </c>
      <c r="E19">
        <v>5.3338999999999998E-2</v>
      </c>
    </row>
    <row r="20" spans="1:5" x14ac:dyDescent="0.25">
      <c r="A20">
        <v>8.0213999999999999</v>
      </c>
      <c r="B20">
        <v>0.112054</v>
      </c>
      <c r="C20">
        <v>0.120641</v>
      </c>
      <c r="D20">
        <v>7.8060000000000004E-2</v>
      </c>
      <c r="E20">
        <v>5.3407999999999997E-2</v>
      </c>
    </row>
    <row r="21" spans="1:5" x14ac:dyDescent="0.25">
      <c r="A21">
        <v>9.9659999999999993</v>
      </c>
      <c r="B21">
        <v>0.12951099999999999</v>
      </c>
      <c r="C21">
        <v>0.16190299999999999</v>
      </c>
      <c r="D21">
        <v>0.11017100000000001</v>
      </c>
      <c r="E21">
        <v>7.3562000000000002E-2</v>
      </c>
    </row>
    <row r="22" spans="1:5" x14ac:dyDescent="0.25">
      <c r="A22">
        <v>9.9931000000000001</v>
      </c>
      <c r="B22">
        <v>0.129748</v>
      </c>
      <c r="C22">
        <v>0.16234699999999999</v>
      </c>
      <c r="D22">
        <v>0.110684</v>
      </c>
      <c r="E22">
        <v>7.3888999999999996E-2</v>
      </c>
    </row>
    <row r="23" spans="1:5" x14ac:dyDescent="0.25">
      <c r="A23">
        <v>11.9581</v>
      </c>
      <c r="B23">
        <v>0.14676900000000001</v>
      </c>
      <c r="C23">
        <v>0.175841</v>
      </c>
      <c r="D23">
        <v>0.15321000000000001</v>
      </c>
      <c r="E23">
        <v>0.101116</v>
      </c>
    </row>
    <row r="24" spans="1:5" x14ac:dyDescent="0.25">
      <c r="A24">
        <v>11.99</v>
      </c>
      <c r="B24">
        <v>0.14704200000000001</v>
      </c>
      <c r="C24">
        <v>0.175678</v>
      </c>
      <c r="D24">
        <v>0.15399199999999999</v>
      </c>
      <c r="E24">
        <v>0.101617</v>
      </c>
    </row>
    <row r="25" spans="1:5" x14ac:dyDescent="0.25">
      <c r="A25">
        <v>13.741099999999999</v>
      </c>
      <c r="B25">
        <v>0.16192000000000001</v>
      </c>
      <c r="C25">
        <v>0.14110400000000001</v>
      </c>
      <c r="D25">
        <v>0.201099</v>
      </c>
      <c r="E25">
        <v>0.13144600000000001</v>
      </c>
    </row>
    <row r="26" spans="1:5" x14ac:dyDescent="0.25">
      <c r="A26">
        <v>13.9771</v>
      </c>
      <c r="B26">
        <v>0.16391</v>
      </c>
      <c r="C26">
        <v>0.132049</v>
      </c>
      <c r="D26">
        <v>0.207737</v>
      </c>
      <c r="E26">
        <v>0.13564399999999999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EC8C4C-E752-48AD-A13D-911661256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Diamond_Analysis</vt:lpstr>
      <vt:lpstr>coeff_lift_AoA</vt:lpstr>
      <vt:lpstr>coeff_drag_AoA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Joao, Noah R.</dc:creator>
  <cp:keywords/>
  <dc:description/>
  <cp:lastModifiedBy>Joao, Noah R.</cp:lastModifiedBy>
  <cp:revision/>
  <dcterms:created xsi:type="dcterms:W3CDTF">2026-02-13T18:49:03Z</dcterms:created>
  <dcterms:modified xsi:type="dcterms:W3CDTF">2026-03-01T21:50:51Z</dcterms:modified>
  <cp:category/>
  <cp:contentStatus/>
</cp:coreProperties>
</file>